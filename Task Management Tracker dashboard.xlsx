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14\Documents\"/>
    </mc:Choice>
  </mc:AlternateContent>
  <xr:revisionPtr revIDLastSave="0" documentId="8_{A2C519CD-32A1-494C-ADF2-1258C21D3A61}" xr6:coauthVersionLast="47" xr6:coauthVersionMax="47" xr10:uidLastSave="{00000000-0000-0000-0000-000000000000}"/>
  <bookViews>
    <workbookView xWindow="-110" yWindow="-110" windowWidth="19420" windowHeight="10300" xr2:uid="{1A5F5666-BE82-F64F-A80E-7F153D5D7E43}"/>
  </bookViews>
  <sheets>
    <sheet name="Dashboard" sheetId="4" r:id="rId1"/>
    <sheet name="Support Sheet" sheetId="2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" l="1"/>
  <c r="C3" i="2"/>
  <c r="I4" i="2"/>
  <c r="I5" i="2"/>
  <c r="I6" i="2"/>
  <c r="I3" i="2"/>
  <c r="F4" i="2"/>
  <c r="F5" i="2"/>
  <c r="F6" i="2"/>
  <c r="F7" i="2"/>
  <c r="F3" i="2"/>
  <c r="C5" i="2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20" i="4"/>
  <c r="K3" i="2" l="1"/>
  <c r="C6" i="2"/>
</calcChain>
</file>

<file path=xl/sharedStrings.xml><?xml version="1.0" encoding="utf-8"?>
<sst xmlns="http://schemas.openxmlformats.org/spreadsheetml/2006/main" count="124" uniqueCount="75">
  <si>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</si>
  <si>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</si>
  <si>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</si>
  <si>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</si>
  <si>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</si>
  <si>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</si>
  <si>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</si>
  <si>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</si>
  <si>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</si>
  <si>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</si>
  <si>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</si>
  <si>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</si>
  <si>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</si>
  <si>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</si>
  <si>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</si>
  <si>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</si>
  <si>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</si>
  <si>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</si>
  <si>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</si>
  <si>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</si>
  <si>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</si>
  <si>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</si>
  <si>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</si>
  <si>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</si>
  <si>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</si>
  <si>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</si>
  <si>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</si>
  <si>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</si>
  <si>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</si>
  <si>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</si>
  <si>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</si>
  <si>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</si>
  <si>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</si>
  <si>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</si>
  <si>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</si>
  <si>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</si>
  <si>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</si>
  <si>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</si>
  <si>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</si>
  <si>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</si>
  <si>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</si>
  <si>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</si>
  <si>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</si>
  <si>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</si>
  <si>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</si>
  <si>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</si>
  <si>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</si>
  <si>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</si>
  <si>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</si>
  <si>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</si>
  <si>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</si>
  <si>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</si>
  <si>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</si>
  <si>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</si>
  <si>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</si>
  <si>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</si>
  <si>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</si>
  <si>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</si>
  <si>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</si>
  <si>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</si>
  <si>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</si>
  <si>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</si>
  <si>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</si>
  <si>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</si>
  <si>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</si>
  <si>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</si>
  <si>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</si>
  <si>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</si>
  <si>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</si>
  <si>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</si>
  <si>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</si>
  <si>
    <t>ctrl + 1</t>
  </si>
  <si>
    <t>custom -&gt; o -&gt; # "Days" -&gt; Task duration</t>
  </si>
  <si>
    <t xml:space="preserve">View -&gt; Freeze pane -&gt; freeze pane </t>
  </si>
  <si>
    <t>top freeze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</si>
</sst>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&quot; Days&quot;"/>
  </numFmts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</cellXfs>
  <cellStyles count="4">
    <cellStyle name="Hyperlink 2" xfId="3" xr:uid="{D116B123-67C6-344C-8E97-773FA34E970D}"/>
    <cellStyle name="Normal" xfId="0" builtinId="0"/>
    <cellStyle name="Normal 2" xfId="1" xr:uid="{A1221B63-1151-9945-AD17-D34A8F7994D7}"/>
    <cellStyle name="Normal 2 2" xfId="2" xr:uid="{6371BA46-78D2-CF43-B416-26A12EFA2F80}"/>
  </cellStyles>
  <dxfs count="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#&quot; Days&quot;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2577A"/>
      <color rgb="FFC7F9CC"/>
      <color rgb="FFC0E6F5"/>
      <color rgb="FF57CC99"/>
      <color rgb="FF80ED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>
                    <a:lumMod val="95000"/>
                    <a:alpha val="99000"/>
                  </a:schemeClr>
                </a:solidFill>
              </a:rPr>
              <a:t>No. of Task  by Owners </a:t>
            </a:r>
            <a:endParaRPr lang="en-US">
              <a:solidFill>
                <a:schemeClr val="bg1">
                  <a:lumMod val="95000"/>
                  <a:alpha val="99000"/>
                </a:schemeClr>
              </a:solidFill>
            </a:endParaRPr>
          </a:p>
        </c:rich>
      </c:tx>
      <c:layout>
        <c:manualLayout>
          <c:xMode val="edge"/>
          <c:yMode val="edge"/>
          <c:x val="0.23548410147324828"/>
          <c:y val="1.24787401574803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60613830829495"/>
          <c:y val="0.20711181102362206"/>
          <c:w val="0.80646009969687005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3-4F4E-A120-913E37E0C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axId val="1474536000"/>
        <c:axId val="1474537920"/>
      </c:barChart>
      <c:catAx>
        <c:axId val="147453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537920"/>
        <c:crosses val="autoZero"/>
        <c:auto val="1"/>
        <c:lblAlgn val="ctr"/>
        <c:lblOffset val="100"/>
        <c:noMultiLvlLbl val="0"/>
      </c:catAx>
      <c:valAx>
        <c:axId val="1474537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7453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>
                    <a:lumMod val="95000"/>
                  </a:schemeClr>
                </a:solidFill>
              </a:rPr>
              <a:t>No.</a:t>
            </a:r>
            <a:r>
              <a:rPr lang="en-IN" baseline="0">
                <a:solidFill>
                  <a:schemeClr val="bg1">
                    <a:lumMod val="95000"/>
                  </a:schemeClr>
                </a:solidFill>
              </a:rPr>
              <a:t> of Task by Team </a:t>
            </a:r>
            <a:endParaRPr lang="en-IN">
              <a:solidFill>
                <a:schemeClr val="bg1">
                  <a:lumMod val="95000"/>
                </a:schemeClr>
              </a:solidFill>
            </a:endParaRPr>
          </a:p>
        </c:rich>
      </c:tx>
      <c:layout>
        <c:manualLayout>
          <c:xMode val="edge"/>
          <c:yMode val="edge"/>
          <c:x val="0.28121120328544191"/>
          <c:y val="3.5850607413736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591187484645672"/>
          <c:y val="0.1717131179819025"/>
          <c:w val="0.78753237743817583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C-4B7B-8392-6A7D47979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axId val="1787488224"/>
        <c:axId val="1787489664"/>
      </c:barChart>
      <c:catAx>
        <c:axId val="178748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489664"/>
        <c:crosses val="autoZero"/>
        <c:auto val="1"/>
        <c:lblAlgn val="ctr"/>
        <c:lblOffset val="100"/>
        <c:noMultiLvlLbl val="0"/>
      </c:catAx>
      <c:valAx>
        <c:axId val="1787489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748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262508</xdr:colOff>
      <xdr:row>0</xdr:row>
      <xdr:rowOff>99608</xdr:rowOff>
    </xdr:from>
    <xdr:to>
      <xdr:col>11</xdr:col>
      <xdr:colOff>19714</xdr:colOff>
      <xdr:row>3</xdr:row>
      <xdr:rowOff>149411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F1524CDA-45AF-4BCD-9EA4-919C30DE3C09}"/>
            </a:ext>
          </a:extLst>
        </xdr:cNvPr>
        <xdr:cNvSpPr/>
      </xdr:nvSpPr>
      <xdr:spPr>
        <a:xfrm>
          <a:off x="262508" y="99608"/>
          <a:ext cx="12845262" cy="764178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2437278</xdr:colOff>
      <xdr:row>0</xdr:row>
      <xdr:rowOff>258553</xdr:rowOff>
    </xdr:from>
    <xdr:to>
      <xdr:col>10</xdr:col>
      <xdr:colOff>9769</xdr:colOff>
      <xdr:row>3</xdr:row>
      <xdr:rowOff>18676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1C0749-302B-A89C-F468-7A005AA89E3B}"/>
            </a:ext>
          </a:extLst>
        </xdr:cNvPr>
        <xdr:cNvSpPr txBox="1"/>
      </xdr:nvSpPr>
      <xdr:spPr>
        <a:xfrm>
          <a:off x="3443509" y="258553"/>
          <a:ext cx="6462491" cy="473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>
              <a:solidFill>
                <a:schemeClr val="bg1"/>
              </a:solidFill>
            </a:rPr>
            <a:t>TASK  MANAGEMENT  TRACKER</a:t>
          </a:r>
        </a:p>
      </xdr:txBody>
    </xdr:sp>
    <xdr:clientData/>
  </xdr:twoCellAnchor>
  <xdr:twoCellAnchor>
    <xdr:from>
      <xdr:col>1</xdr:col>
      <xdr:colOff>0</xdr:colOff>
      <xdr:row>4</xdr:row>
      <xdr:rowOff>126048</xdr:rowOff>
    </xdr:from>
    <xdr:to>
      <xdr:col>2</xdr:col>
      <xdr:colOff>732014</xdr:colOff>
      <xdr:row>10</xdr:row>
      <xdr:rowOff>10781</xdr:rowOff>
    </xdr:to>
    <xdr:sp macro="" textlink="">
      <xdr:nvSpPr>
        <xdr:cNvPr id="4" name="Rounded Rectangle 14">
          <a:extLst>
            <a:ext uri="{FF2B5EF4-FFF2-40B4-BE49-F238E27FC236}">
              <a16:creationId xmlns:a16="http://schemas.microsoft.com/office/drawing/2014/main" id="{A87DB98E-5229-421C-96ED-6F3CACC504B5}"/>
            </a:ext>
          </a:extLst>
        </xdr:cNvPr>
        <xdr:cNvSpPr/>
      </xdr:nvSpPr>
      <xdr:spPr>
        <a:xfrm>
          <a:off x="264583" y="1043270"/>
          <a:ext cx="1472848" cy="1101817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1134588</xdr:colOff>
      <xdr:row>4</xdr:row>
      <xdr:rowOff>136770</xdr:rowOff>
    </xdr:from>
    <xdr:to>
      <xdr:col>3</xdr:col>
      <xdr:colOff>176388</xdr:colOff>
      <xdr:row>10</xdr:row>
      <xdr:rowOff>21503</xdr:rowOff>
    </xdr:to>
    <xdr:sp macro="" textlink="">
      <xdr:nvSpPr>
        <xdr:cNvPr id="5" name="Rounded Rectangle 14">
          <a:extLst>
            <a:ext uri="{FF2B5EF4-FFF2-40B4-BE49-F238E27FC236}">
              <a16:creationId xmlns:a16="http://schemas.microsoft.com/office/drawing/2014/main" id="{0A8189A5-DFAA-4637-8627-1AA8F889709B}"/>
            </a:ext>
          </a:extLst>
        </xdr:cNvPr>
        <xdr:cNvSpPr/>
      </xdr:nvSpPr>
      <xdr:spPr>
        <a:xfrm>
          <a:off x="2140005" y="1053992"/>
          <a:ext cx="1502425" cy="1101817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10</xdr:row>
      <xdr:rowOff>195384</xdr:rowOff>
    </xdr:from>
    <xdr:to>
      <xdr:col>2</xdr:col>
      <xdr:colOff>723194</xdr:colOff>
      <xdr:row>16</xdr:row>
      <xdr:rowOff>80117</xdr:rowOff>
    </xdr:to>
    <xdr:sp macro="" textlink="">
      <xdr:nvSpPr>
        <xdr:cNvPr id="6" name="Rounded Rectangle 14">
          <a:extLst>
            <a:ext uri="{FF2B5EF4-FFF2-40B4-BE49-F238E27FC236}">
              <a16:creationId xmlns:a16="http://schemas.microsoft.com/office/drawing/2014/main" id="{631ED3D3-3D6C-47B5-8FD6-7F8C4D27F982}"/>
            </a:ext>
          </a:extLst>
        </xdr:cNvPr>
        <xdr:cNvSpPr/>
      </xdr:nvSpPr>
      <xdr:spPr>
        <a:xfrm>
          <a:off x="264583" y="2329690"/>
          <a:ext cx="1464028" cy="110181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1120069</xdr:colOff>
      <xdr:row>10</xdr:row>
      <xdr:rowOff>195384</xdr:rowOff>
    </xdr:from>
    <xdr:to>
      <xdr:col>3</xdr:col>
      <xdr:colOff>202847</xdr:colOff>
      <xdr:row>16</xdr:row>
      <xdr:rowOff>80117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33C2CB94-D9CE-4CFF-8093-77A5A620CA5D}"/>
            </a:ext>
          </a:extLst>
        </xdr:cNvPr>
        <xdr:cNvSpPr/>
      </xdr:nvSpPr>
      <xdr:spPr>
        <a:xfrm>
          <a:off x="2125486" y="2329690"/>
          <a:ext cx="1543403" cy="110181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1049513</xdr:colOff>
      <xdr:row>4</xdr:row>
      <xdr:rowOff>146538</xdr:rowOff>
    </xdr:from>
    <xdr:to>
      <xdr:col>11</xdr:col>
      <xdr:colOff>29306</xdr:colOff>
      <xdr:row>16</xdr:row>
      <xdr:rowOff>127000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620AD895-26B6-486E-9DA4-60CEA31C4E3E}"/>
            </a:ext>
          </a:extLst>
        </xdr:cNvPr>
        <xdr:cNvSpPr/>
      </xdr:nvSpPr>
      <xdr:spPr>
        <a:xfrm>
          <a:off x="10918471" y="1063760"/>
          <a:ext cx="2198891" cy="2414629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359426</xdr:colOff>
      <xdr:row>4</xdr:row>
      <xdr:rowOff>143689</xdr:rowOff>
    </xdr:from>
    <xdr:to>
      <xdr:col>7</xdr:col>
      <xdr:colOff>211666</xdr:colOff>
      <xdr:row>16</xdr:row>
      <xdr:rowOff>124151</xdr:rowOff>
    </xdr:to>
    <xdr:sp macro="" textlink="">
      <xdr:nvSpPr>
        <xdr:cNvPr id="9" name="Rounded Rectangle 14">
          <a:extLst>
            <a:ext uri="{FF2B5EF4-FFF2-40B4-BE49-F238E27FC236}">
              <a16:creationId xmlns:a16="http://schemas.microsoft.com/office/drawing/2014/main" id="{1BA7A62E-0AE0-4695-8B4B-894B588DF210}"/>
            </a:ext>
          </a:extLst>
        </xdr:cNvPr>
        <xdr:cNvSpPr/>
      </xdr:nvSpPr>
      <xdr:spPr>
        <a:xfrm>
          <a:off x="3825468" y="1060911"/>
          <a:ext cx="3468212" cy="2414629"/>
        </a:xfrm>
        <a:prstGeom prst="roundRect">
          <a:avLst>
            <a:gd name="adj" fmla="val 10985"/>
          </a:avLst>
        </a:prstGeom>
        <a:solidFill>
          <a:schemeClr val="tx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406100</xdr:colOff>
      <xdr:row>4</xdr:row>
      <xdr:rowOff>162278</xdr:rowOff>
    </xdr:from>
    <xdr:to>
      <xdr:col>10</xdr:col>
      <xdr:colOff>855485</xdr:colOff>
      <xdr:row>16</xdr:row>
      <xdr:rowOff>142740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03273EC7-C456-4308-A9C6-C8527919FCA4}"/>
            </a:ext>
          </a:extLst>
        </xdr:cNvPr>
        <xdr:cNvSpPr/>
      </xdr:nvSpPr>
      <xdr:spPr>
        <a:xfrm>
          <a:off x="7488114" y="1079500"/>
          <a:ext cx="3236329" cy="2414629"/>
        </a:xfrm>
        <a:prstGeom prst="roundRect">
          <a:avLst>
            <a:gd name="adj" fmla="val 10985"/>
          </a:avLst>
        </a:prstGeom>
        <a:solidFill>
          <a:schemeClr val="tx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105834</xdr:colOff>
      <xdr:row>4</xdr:row>
      <xdr:rowOff>105834</xdr:rowOff>
    </xdr:from>
    <xdr:to>
      <xdr:col>2</xdr:col>
      <xdr:colOff>758472</xdr:colOff>
      <xdr:row>7</xdr:row>
      <xdr:rowOff>26458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4510FA-3640-2226-A618-47B4F34D82A5}"/>
            </a:ext>
          </a:extLst>
        </xdr:cNvPr>
        <xdr:cNvSpPr txBox="1"/>
      </xdr:nvSpPr>
      <xdr:spPr>
        <a:xfrm>
          <a:off x="370417" y="1023056"/>
          <a:ext cx="1393472" cy="529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800" b="1">
              <a:solidFill>
                <a:schemeClr val="bg1"/>
              </a:solidFill>
              <a:latin typeface="+mj-lt"/>
            </a:rPr>
            <a:t>Completed</a:t>
          </a:r>
          <a:endParaRPr lang="en-IN" sz="16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1</xdr:col>
      <xdr:colOff>493889</xdr:colOff>
      <xdr:row>6</xdr:row>
      <xdr:rowOff>17639</xdr:rowOff>
    </xdr:from>
    <xdr:to>
      <xdr:col>2</xdr:col>
      <xdr:colOff>291041</xdr:colOff>
      <xdr:row>9</xdr:row>
      <xdr:rowOff>105833</xdr:rowOff>
    </xdr:to>
    <xdr:sp macro="" textlink="'Support Sheet'!C3">
      <xdr:nvSpPr>
        <xdr:cNvPr id="12" name="TextBox 11">
          <a:extLst>
            <a:ext uri="{FF2B5EF4-FFF2-40B4-BE49-F238E27FC236}">
              <a16:creationId xmlns:a16="http://schemas.microsoft.com/office/drawing/2014/main" id="{8B8B92CA-F12C-F086-0286-FD7EB2D520F3}"/>
            </a:ext>
          </a:extLst>
        </xdr:cNvPr>
        <xdr:cNvSpPr txBox="1"/>
      </xdr:nvSpPr>
      <xdr:spPr>
        <a:xfrm>
          <a:off x="758472" y="1340556"/>
          <a:ext cx="537986" cy="696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97A9DDF-965B-491F-B6D1-F4A89DABBF69}" type="TxLink">
            <a:rPr lang="en-US" sz="4400" b="1" i="0" u="none" strike="noStrike">
              <a:solidFill>
                <a:schemeClr val="bg1"/>
              </a:solidFill>
              <a:latin typeface="Aptos Narrow"/>
            </a:rPr>
            <a:t>7</a:t>
          </a:fld>
          <a:endParaRPr lang="en-IN" sz="40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1651706</xdr:colOff>
      <xdr:row>6</xdr:row>
      <xdr:rowOff>20107</xdr:rowOff>
    </xdr:from>
    <xdr:to>
      <xdr:col>2</xdr:col>
      <xdr:colOff>2189692</xdr:colOff>
      <xdr:row>9</xdr:row>
      <xdr:rowOff>108301</xdr:rowOff>
    </xdr:to>
    <xdr:sp macro="" textlink="'Support Sheet'!C5">
      <xdr:nvSpPr>
        <xdr:cNvPr id="13" name="TextBox 12">
          <a:extLst>
            <a:ext uri="{FF2B5EF4-FFF2-40B4-BE49-F238E27FC236}">
              <a16:creationId xmlns:a16="http://schemas.microsoft.com/office/drawing/2014/main" id="{129CF395-8147-75B2-3B44-6450B7D31F16}"/>
            </a:ext>
          </a:extLst>
        </xdr:cNvPr>
        <xdr:cNvSpPr txBox="1"/>
      </xdr:nvSpPr>
      <xdr:spPr>
        <a:xfrm>
          <a:off x="2657123" y="1343024"/>
          <a:ext cx="537986" cy="696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5183A2B-C613-4385-9F55-446584ECB37B}" type="TxLink">
            <a:rPr lang="en-US" sz="4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2</a:t>
          </a:fld>
          <a:endParaRPr lang="en-IN" sz="4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1261181</xdr:colOff>
      <xdr:row>5</xdr:row>
      <xdr:rowOff>26458</xdr:rowOff>
    </xdr:from>
    <xdr:to>
      <xdr:col>3</xdr:col>
      <xdr:colOff>379236</xdr:colOff>
      <xdr:row>6</xdr:row>
      <xdr:rowOff>149930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1701F24-DCB0-56E6-EABA-38EA5D9AFAF6}"/>
            </a:ext>
          </a:extLst>
        </xdr:cNvPr>
        <xdr:cNvSpPr txBox="1"/>
      </xdr:nvSpPr>
      <xdr:spPr>
        <a:xfrm>
          <a:off x="2266598" y="1146527"/>
          <a:ext cx="1578680" cy="326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+mj-lt"/>
              <a:ea typeface="+mn-ea"/>
              <a:cs typeface="+mn-cs"/>
            </a:rPr>
            <a:t>Not</a:t>
          </a:r>
          <a:r>
            <a:rPr lang="en-IN" sz="1100" baseline="0"/>
            <a:t>  </a:t>
          </a:r>
          <a:r>
            <a:rPr lang="en-IN" sz="1800" b="1">
              <a:solidFill>
                <a:schemeClr val="bg1"/>
              </a:solidFill>
              <a:latin typeface="+mj-lt"/>
              <a:ea typeface="+mn-ea"/>
              <a:cs typeface="+mn-cs"/>
            </a:rPr>
            <a:t>Started</a:t>
          </a:r>
        </a:p>
      </xdr:txBody>
    </xdr:sp>
    <xdr:clientData/>
  </xdr:twoCellAnchor>
  <xdr:twoCellAnchor>
    <xdr:from>
      <xdr:col>1</xdr:col>
      <xdr:colOff>105833</xdr:colOff>
      <xdr:row>11</xdr:row>
      <xdr:rowOff>44096</xdr:rowOff>
    </xdr:from>
    <xdr:to>
      <xdr:col>2</xdr:col>
      <xdr:colOff>696735</xdr:colOff>
      <xdr:row>12</xdr:row>
      <xdr:rowOff>167569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D33E357-B7AF-C641-71FD-4D1BB09B1D46}"/>
            </a:ext>
          </a:extLst>
        </xdr:cNvPr>
        <xdr:cNvSpPr txBox="1"/>
      </xdr:nvSpPr>
      <xdr:spPr>
        <a:xfrm>
          <a:off x="370416" y="2381249"/>
          <a:ext cx="1331736" cy="326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bg1"/>
              </a:solidFill>
              <a:latin typeface="+mj-lt"/>
              <a:ea typeface="+mn-ea"/>
              <a:cs typeface="+mn-cs"/>
            </a:rPr>
            <a:t>In</a:t>
          </a:r>
          <a:r>
            <a:rPr lang="en-IN" sz="1100"/>
            <a:t> </a:t>
          </a:r>
          <a:r>
            <a:rPr lang="en-IN" sz="1800" b="1">
              <a:solidFill>
                <a:schemeClr val="bg1"/>
              </a:solidFill>
              <a:latin typeface="+mj-lt"/>
              <a:ea typeface="+mn-ea"/>
              <a:cs typeface="+mn-cs"/>
            </a:rPr>
            <a:t>Progress</a:t>
          </a:r>
        </a:p>
      </xdr:txBody>
    </xdr:sp>
    <xdr:clientData/>
  </xdr:twoCellAnchor>
  <xdr:twoCellAnchor>
    <xdr:from>
      <xdr:col>2</xdr:col>
      <xdr:colOff>1552222</xdr:colOff>
      <xdr:row>11</xdr:row>
      <xdr:rowOff>44097</xdr:rowOff>
    </xdr:from>
    <xdr:to>
      <xdr:col>3</xdr:col>
      <xdr:colOff>141111</xdr:colOff>
      <xdr:row>12</xdr:row>
      <xdr:rowOff>141112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8C86A0B-F1D1-4C0F-B326-59820C3CF173}"/>
            </a:ext>
          </a:extLst>
        </xdr:cNvPr>
        <xdr:cNvSpPr txBox="1"/>
      </xdr:nvSpPr>
      <xdr:spPr>
        <a:xfrm>
          <a:off x="2557639" y="2381250"/>
          <a:ext cx="1049514" cy="299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bg1"/>
              </a:solidFill>
              <a:latin typeface="+mj-lt"/>
              <a:ea typeface="+mn-ea"/>
              <a:cs typeface="+mn-cs"/>
            </a:rPr>
            <a:t>Total</a:t>
          </a:r>
        </a:p>
      </xdr:txBody>
    </xdr:sp>
    <xdr:clientData/>
  </xdr:twoCellAnchor>
  <xdr:twoCellAnchor>
    <xdr:from>
      <xdr:col>1</xdr:col>
      <xdr:colOff>478720</xdr:colOff>
      <xdr:row>12</xdr:row>
      <xdr:rowOff>37747</xdr:rowOff>
    </xdr:from>
    <xdr:to>
      <xdr:col>2</xdr:col>
      <xdr:colOff>275872</xdr:colOff>
      <xdr:row>15</xdr:row>
      <xdr:rowOff>125940</xdr:rowOff>
    </xdr:to>
    <xdr:sp macro="" textlink="'Support Sheet'!C4">
      <xdr:nvSpPr>
        <xdr:cNvPr id="17" name="TextBox 16">
          <a:extLst>
            <a:ext uri="{FF2B5EF4-FFF2-40B4-BE49-F238E27FC236}">
              <a16:creationId xmlns:a16="http://schemas.microsoft.com/office/drawing/2014/main" id="{74CC6D59-3F5B-032A-9D9B-42E4643C6EA9}"/>
            </a:ext>
          </a:extLst>
        </xdr:cNvPr>
        <xdr:cNvSpPr txBox="1"/>
      </xdr:nvSpPr>
      <xdr:spPr>
        <a:xfrm>
          <a:off x="743303" y="2577747"/>
          <a:ext cx="537986" cy="696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6262B20-545A-41F5-A012-472CE3607A89}" type="TxLink">
            <a:rPr lang="en-US" sz="4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6</a:t>
          </a:fld>
          <a:endParaRPr lang="en-IN" sz="4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1504242</xdr:colOff>
      <xdr:row>12</xdr:row>
      <xdr:rowOff>13759</xdr:rowOff>
    </xdr:from>
    <xdr:to>
      <xdr:col>3</xdr:col>
      <xdr:colOff>35276</xdr:colOff>
      <xdr:row>15</xdr:row>
      <xdr:rowOff>101952</xdr:rowOff>
    </xdr:to>
    <xdr:sp macro="" textlink="'Support Sheet'!C6">
      <xdr:nvSpPr>
        <xdr:cNvPr id="18" name="TextBox 17">
          <a:extLst>
            <a:ext uri="{FF2B5EF4-FFF2-40B4-BE49-F238E27FC236}">
              <a16:creationId xmlns:a16="http://schemas.microsoft.com/office/drawing/2014/main" id="{B0F66BC6-BC18-5787-717B-B369CF487360}"/>
            </a:ext>
          </a:extLst>
        </xdr:cNvPr>
        <xdr:cNvSpPr txBox="1"/>
      </xdr:nvSpPr>
      <xdr:spPr>
        <a:xfrm>
          <a:off x="2509659" y="2553759"/>
          <a:ext cx="991659" cy="696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4C65887-794A-4D84-A7E9-58947E451E3E}" type="TxLink">
            <a:rPr lang="en-US" sz="4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15</a:t>
          </a:fld>
          <a:endParaRPr lang="en-IN" sz="4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396875</xdr:colOff>
      <xdr:row>5</xdr:row>
      <xdr:rowOff>79375</xdr:rowOff>
    </xdr:from>
    <xdr:to>
      <xdr:col>7</xdr:col>
      <xdr:colOff>167569</xdr:colOff>
      <xdr:row>15</xdr:row>
      <xdr:rowOff>114652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E95B218-42E5-47BA-A94B-23D0A5CD8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467430</xdr:colOff>
      <xdr:row>5</xdr:row>
      <xdr:rowOff>61735</xdr:rowOff>
    </xdr:from>
    <xdr:to>
      <xdr:col>10</xdr:col>
      <xdr:colOff>811389</xdr:colOff>
      <xdr:row>15</xdr:row>
      <xdr:rowOff>158749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4E796A4-4DBA-41D1-ABBC-4AD4EDC36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1283196</xdr:colOff>
      <xdr:row>6</xdr:row>
      <xdr:rowOff>71009</xdr:rowOff>
    </xdr:from>
    <xdr:to>
      <xdr:col>11</xdr:col>
      <xdr:colOff>555624</xdr:colOff>
      <xdr:row>8</xdr:row>
      <xdr:rowOff>158750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0B92893-A20A-61F8-E41F-CCAB511B232E}"/>
            </a:ext>
          </a:extLst>
        </xdr:cNvPr>
        <xdr:cNvSpPr txBox="1"/>
      </xdr:nvSpPr>
      <xdr:spPr>
        <a:xfrm>
          <a:off x="11193732" y="1397705"/>
          <a:ext cx="2492785" cy="4959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bg1"/>
              </a:solidFill>
              <a:latin typeface="+mj-lt"/>
              <a:ea typeface="+mn-ea"/>
              <a:cs typeface="+mn-cs"/>
            </a:rPr>
            <a:t>Overall </a:t>
          </a:r>
          <a:r>
            <a:rPr lang="en-IN" sz="1400" b="1"/>
            <a:t> </a:t>
          </a:r>
          <a:r>
            <a:rPr lang="en-IN" sz="2400" b="1">
              <a:solidFill>
                <a:schemeClr val="bg1"/>
              </a:solidFill>
              <a:latin typeface="+mj-lt"/>
              <a:ea typeface="+mn-ea"/>
              <a:cs typeface="+mn-cs"/>
            </a:rPr>
            <a:t>Due</a:t>
          </a:r>
        </a:p>
      </xdr:txBody>
    </xdr:sp>
    <xdr:clientData/>
  </xdr:twoCellAnchor>
  <xdr:twoCellAnchor>
    <xdr:from>
      <xdr:col>10</xdr:col>
      <xdr:colOff>1849410</xdr:colOff>
      <xdr:row>9</xdr:row>
      <xdr:rowOff>18748</xdr:rowOff>
    </xdr:from>
    <xdr:to>
      <xdr:col>10</xdr:col>
      <xdr:colOff>2841069</xdr:colOff>
      <xdr:row>13</xdr:row>
      <xdr:rowOff>158751</xdr:rowOff>
    </xdr:to>
    <xdr:sp macro="" textlink="'Support Sheet'!K3">
      <xdr:nvSpPr>
        <xdr:cNvPr id="22" name="TextBox 21">
          <a:extLst>
            <a:ext uri="{FF2B5EF4-FFF2-40B4-BE49-F238E27FC236}">
              <a16:creationId xmlns:a16="http://schemas.microsoft.com/office/drawing/2014/main" id="{AA8B3ABD-5020-F4C8-477E-755563AA758E}"/>
            </a:ext>
          </a:extLst>
        </xdr:cNvPr>
        <xdr:cNvSpPr txBox="1"/>
      </xdr:nvSpPr>
      <xdr:spPr>
        <a:xfrm>
          <a:off x="11759946" y="1957766"/>
          <a:ext cx="991659" cy="9564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253A218-8614-488D-A663-927854C5EAC8}" type="TxLink">
            <a:rPr lang="en-US" sz="60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8</a:t>
          </a:fld>
          <a:endParaRPr lang="en-IN" sz="60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209322</xdr:colOff>
      <xdr:row>8</xdr:row>
      <xdr:rowOff>129383</xdr:rowOff>
    </xdr:from>
    <xdr:to>
      <xdr:col>2</xdr:col>
      <xdr:colOff>233877</xdr:colOff>
      <xdr:row>14</xdr:row>
      <xdr:rowOff>19213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B906DE83-1341-469D-B7C2-FAEBEEFF31D1}"/>
            </a:ext>
          </a:extLst>
        </xdr:cNvPr>
        <xdr:cNvSpPr/>
      </xdr:nvSpPr>
      <xdr:spPr>
        <a:xfrm>
          <a:off x="209322" y="1719644"/>
          <a:ext cx="1131112" cy="108252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8581D-81D8-47D0-830A-5C6BC5207852}" name="Table1" displayName="Table1" ref="B19:K34" totalsRowShown="0" headerRowDxfId="10" headerRowCellStyle="Normal 2">
  <autoFilter ref="B19:K34" xr:uid="{D878581D-81D8-47D0-830A-5C6BC5207852}"/>
  <tableColumns count="10">
    <tableColumn id="1" xr3:uid="{9A0EF075-6B18-40B3-95BA-C01B8B4984B9}" name="Task ID" dataDxfId="15"/>
    <tableColumn id="2" xr3:uid="{A468D9B4-C4BC-4BC4-ACA6-BEC88398BEBF}" name="Task Name"/>
    <tableColumn id="3" xr3:uid="{B1F8BA76-8E05-408D-AA1A-DE64668AD36A}" name="Team"/>
    <tableColumn id="4" xr3:uid="{C41379EE-32ED-4705-8BEE-F5E7773391FE}" name="Task Owner"/>
    <tableColumn id="5" xr3:uid="{4DEB6A2F-5802-4F42-914B-26FBC5527757}" name="Start Date" dataDxfId="14"/>
    <tableColumn id="6" xr3:uid="{1E196B94-BA31-458B-8ED5-4A39D76E4974}" name="Due Date" dataDxfId="13"/>
    <tableColumn id="7" xr3:uid="{D46CF9B4-986F-4244-B326-54D42CB8C87F}" name="Task Duration" dataDxfId="12">
      <calculatedColumnFormula>G20-F20</calculatedColumnFormula>
    </tableColumn>
    <tableColumn id="8" xr3:uid="{0449EB0C-56C9-4D3E-9385-26A5097BA0BE}" name="Status" dataDxfId="11"/>
    <tableColumn id="9" xr3:uid="{9086050C-8BC4-4C63-8529-6189A8A7EC32}" name="Overdue?" dataDxfId="9">
      <calculatedColumnFormula>AND(Table1[[#This Row],[Status]]&lt;&gt;"Completed",Table1[[#This Row],[Due Date]]&lt;TODAY())</calculatedColumnFormula>
    </tableColumn>
    <tableColumn id="10" xr3:uid="{2667E3A1-608E-45C4-B79C-0E1EAD269C1F}" name="Comment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:K40"/>
  <sheetViews>
    <sheetView tabSelected="1" topLeftCell="A4" zoomScale="78" zoomScaleNormal="46" workbookViewId="0">
      <pane ySplit="16" topLeftCell="A20" activePane="bottomLeft" state="frozen"/>
      <selection activeCell="A4" sqref="A4"/>
      <selection pane="bottomLeft" activeCell="D41" sqref="D41"/>
    </sheetView>
  </sheetViews>
  <sheetFormatPr defaultColWidth="11.1640625" defaultRowHeight="16" x14ac:dyDescent="0.4"/>
  <cols>
    <col min="1" max="1" width="3.5" customWidth="1"/>
    <col min="2" max="2" width="9.75" style="1" customWidth="1"/>
    <col min="3" max="3" width="32.33203125" customWidth="1"/>
    <col min="5" max="5" width="14.1640625" bestFit="1" customWidth="1"/>
    <col min="8" max="8" width="13.33203125" customWidth="1"/>
    <col min="9" max="9" width="12.1640625" style="1" customWidth="1"/>
    <col min="11" max="11" width="42.25" customWidth="1"/>
  </cols>
  <sheetData>
    <row r="1" ht="24" customHeight="1" x14ac:dyDescent="0.4"/>
    <row r="19" spans="2:11" x14ac:dyDescent="0.4">
      <c r="B19" s="4" t="s">
        <v>1</v>
      </c>
      <c r="C19" s="4" t="s">
        <v>0</v>
      </c>
      <c r="D19" s="4" t="s">
        <v>70</v>
      </c>
      <c r="E19" s="4" t="s">
        <v>6</v>
      </c>
      <c r="F19" s="4" t="s">
        <v>2</v>
      </c>
      <c r="G19" s="4" t="s">
        <v>3</v>
      </c>
      <c r="H19" s="4" t="s">
        <v>11</v>
      </c>
      <c r="I19" s="4" t="s">
        <v>4</v>
      </c>
      <c r="J19" s="4" t="s">
        <v>5</v>
      </c>
      <c r="K19" s="4" t="s">
        <v>7</v>
      </c>
    </row>
    <row r="20" spans="2:11" x14ac:dyDescent="0.4">
      <c r="B20" s="1" t="s">
        <v>13</v>
      </c>
      <c r="C20" t="s">
        <v>14</v>
      </c>
      <c r="D20" t="s">
        <v>65</v>
      </c>
      <c r="E20" t="s">
        <v>15</v>
      </c>
      <c r="F20" s="2">
        <v>45902</v>
      </c>
      <c r="G20" s="2">
        <v>45920</v>
      </c>
      <c r="H20" s="6">
        <f>G20-F20</f>
        <v>18</v>
      </c>
      <c r="I20" s="1" t="s">
        <v>16</v>
      </c>
      <c r="J20" s="1" t="b">
        <f ca="1">AND(Table1[[#This Row],[Status]]&lt;&gt;"Completed",Table1[[#This Row],[Due Date]]&lt;TODAY())</f>
        <v>0</v>
      </c>
      <c r="K20" t="s">
        <v>17</v>
      </c>
    </row>
    <row r="21" spans="2:11" x14ac:dyDescent="0.4">
      <c r="B21" s="1" t="s">
        <v>18</v>
      </c>
      <c r="C21" t="s">
        <v>62</v>
      </c>
      <c r="D21" t="s">
        <v>57</v>
      </c>
      <c r="E21" t="s">
        <v>15</v>
      </c>
      <c r="F21" s="2">
        <v>45905</v>
      </c>
      <c r="G21" s="2">
        <v>45925</v>
      </c>
      <c r="H21" s="6">
        <f t="shared" ref="H21:H34" si="0">G21-F21</f>
        <v>20</v>
      </c>
      <c r="I21" s="1" t="s">
        <v>16</v>
      </c>
      <c r="J21" s="1" t="b">
        <f ca="1">AND(Table1[[#This Row],[Status]]&lt;&gt;"Completed",Table1[[#This Row],[Due Date]]&lt;TODAY())</f>
        <v>0</v>
      </c>
      <c r="K21" t="s">
        <v>20</v>
      </c>
    </row>
    <row r="22" spans="2:11" x14ac:dyDescent="0.4">
      <c r="B22" s="1" t="s">
        <v>21</v>
      </c>
      <c r="C22" t="s">
        <v>22</v>
      </c>
      <c r="D22" t="s">
        <v>57</v>
      </c>
      <c r="E22" t="s">
        <v>19</v>
      </c>
      <c r="F22" s="2">
        <v>45848</v>
      </c>
      <c r="G22" s="2">
        <v>45874</v>
      </c>
      <c r="H22" s="6">
        <f t="shared" si="0"/>
        <v>26</v>
      </c>
      <c r="I22" s="1" t="s">
        <v>8</v>
      </c>
      <c r="J22" s="1" t="b">
        <f ca="1">AND(Table1[[#This Row],[Status]]&lt;&gt;"Completed",Table1[[#This Row],[Due Date]]&lt;TODAY())</f>
        <v>1</v>
      </c>
      <c r="K22" t="s">
        <v>23</v>
      </c>
    </row>
    <row r="23" spans="2:11" x14ac:dyDescent="0.4">
      <c r="B23" s="1" t="s">
        <v>24</v>
      </c>
      <c r="C23" t="s">
        <v>25</v>
      </c>
      <c r="D23" t="s">
        <v>65</v>
      </c>
      <c r="E23" t="s">
        <v>15</v>
      </c>
      <c r="F23" s="2">
        <v>45912</v>
      </c>
      <c r="G23" s="2">
        <v>45930</v>
      </c>
      <c r="H23" s="6">
        <f t="shared" si="0"/>
        <v>18</v>
      </c>
      <c r="I23" s="1" t="s">
        <v>16</v>
      </c>
      <c r="J23" s="1" t="b">
        <f ca="1">AND(Table1[[#This Row],[Status]]&lt;&gt;"Completed",Table1[[#This Row],[Due Date]]&lt;TODAY())</f>
        <v>0</v>
      </c>
      <c r="K23" t="s">
        <v>27</v>
      </c>
    </row>
    <row r="24" spans="2:11" x14ac:dyDescent="0.4">
      <c r="B24" s="1" t="s">
        <v>28</v>
      </c>
      <c r="C24" t="s">
        <v>29</v>
      </c>
      <c r="D24" t="s">
        <v>57</v>
      </c>
      <c r="E24" t="s">
        <v>26</v>
      </c>
      <c r="F24" s="2">
        <v>45915</v>
      </c>
      <c r="G24" s="2">
        <v>45940</v>
      </c>
      <c r="H24" s="6">
        <f t="shared" si="0"/>
        <v>25</v>
      </c>
      <c r="I24" s="1" t="s">
        <v>8</v>
      </c>
      <c r="J24" s="1" t="b">
        <f ca="1">AND(Table1[[#This Row],[Status]]&lt;&gt;"Completed",Table1[[#This Row],[Due Date]]&lt;TODAY())</f>
        <v>1</v>
      </c>
      <c r="K24" t="s">
        <v>31</v>
      </c>
    </row>
    <row r="25" spans="2:11" x14ac:dyDescent="0.4">
      <c r="B25" s="1" t="s">
        <v>32</v>
      </c>
      <c r="C25" t="s">
        <v>33</v>
      </c>
      <c r="D25" t="s">
        <v>66</v>
      </c>
      <c r="E25" t="s">
        <v>19</v>
      </c>
      <c r="F25" s="2">
        <v>45918</v>
      </c>
      <c r="G25" s="2">
        <v>45945</v>
      </c>
      <c r="H25" s="6">
        <f t="shared" si="0"/>
        <v>27</v>
      </c>
      <c r="I25" s="1" t="s">
        <v>8</v>
      </c>
      <c r="J25" s="1" t="b">
        <f ca="1">AND(Table1[[#This Row],[Status]]&lt;&gt;"Completed",Table1[[#This Row],[Due Date]]&lt;TODAY())</f>
        <v>1</v>
      </c>
      <c r="K25" t="s">
        <v>35</v>
      </c>
    </row>
    <row r="26" spans="2:11" x14ac:dyDescent="0.4">
      <c r="B26" s="1" t="s">
        <v>36</v>
      </c>
      <c r="C26" t="s">
        <v>63</v>
      </c>
      <c r="D26" t="s">
        <v>66</v>
      </c>
      <c r="E26" t="s">
        <v>30</v>
      </c>
      <c r="F26" s="2">
        <v>45889</v>
      </c>
      <c r="G26" s="2">
        <v>45896</v>
      </c>
      <c r="H26" s="6">
        <f t="shared" si="0"/>
        <v>7</v>
      </c>
      <c r="I26" s="1" t="s">
        <v>9</v>
      </c>
      <c r="J26" s="1" t="b">
        <f ca="1">AND(Table1[[#This Row],[Status]]&lt;&gt;"Completed",Table1[[#This Row],[Due Date]]&lt;TODAY())</f>
        <v>1</v>
      </c>
      <c r="K26" t="s">
        <v>37</v>
      </c>
    </row>
    <row r="27" spans="2:11" x14ac:dyDescent="0.4">
      <c r="B27" s="1" t="s">
        <v>38</v>
      </c>
      <c r="C27" t="s">
        <v>39</v>
      </c>
      <c r="D27" t="s">
        <v>40</v>
      </c>
      <c r="E27" t="s">
        <v>30</v>
      </c>
      <c r="F27" s="2">
        <v>45922</v>
      </c>
      <c r="G27" s="2">
        <v>45942</v>
      </c>
      <c r="H27" s="6">
        <f t="shared" si="0"/>
        <v>20</v>
      </c>
      <c r="I27" s="1" t="s">
        <v>8</v>
      </c>
      <c r="J27" s="1" t="b">
        <f ca="1">AND(Table1[[#This Row],[Status]]&lt;&gt;"Completed",Table1[[#This Row],[Due Date]]&lt;TODAY())</f>
        <v>1</v>
      </c>
      <c r="K27" t="s">
        <v>41</v>
      </c>
    </row>
    <row r="28" spans="2:11" x14ac:dyDescent="0.4">
      <c r="B28" s="1" t="s">
        <v>42</v>
      </c>
      <c r="C28" t="s">
        <v>43</v>
      </c>
      <c r="D28" t="s">
        <v>66</v>
      </c>
      <c r="E28" t="s">
        <v>15</v>
      </c>
      <c r="F28" s="2">
        <v>45923</v>
      </c>
      <c r="G28" s="2">
        <v>45950</v>
      </c>
      <c r="H28" s="6">
        <f t="shared" si="0"/>
        <v>27</v>
      </c>
      <c r="I28" s="1" t="s">
        <v>16</v>
      </c>
      <c r="J28" s="1" t="b">
        <f ca="1">AND(Table1[[#This Row],[Status]]&lt;&gt;"Completed",Table1[[#This Row],[Due Date]]&lt;TODAY())</f>
        <v>0</v>
      </c>
      <c r="K28" t="s">
        <v>44</v>
      </c>
    </row>
    <row r="29" spans="2:11" x14ac:dyDescent="0.4">
      <c r="B29" s="1" t="s">
        <v>45</v>
      </c>
      <c r="C29" t="s">
        <v>64</v>
      </c>
      <c r="D29" t="s">
        <v>66</v>
      </c>
      <c r="E29" t="s">
        <v>15</v>
      </c>
      <c r="F29" s="2">
        <v>45924</v>
      </c>
      <c r="G29" s="2">
        <v>45935</v>
      </c>
      <c r="H29" s="6">
        <f t="shared" si="0"/>
        <v>11</v>
      </c>
      <c r="I29" s="1" t="s">
        <v>8</v>
      </c>
      <c r="J29" s="1" t="b">
        <f ca="1">AND(Table1[[#This Row],[Status]]&lt;&gt;"Completed",Table1[[#This Row],[Due Date]]&lt;TODAY())</f>
        <v>1</v>
      </c>
      <c r="K29" t="s">
        <v>46</v>
      </c>
    </row>
    <row r="30" spans="2:11" x14ac:dyDescent="0.4">
      <c r="B30" s="1" t="s">
        <v>47</v>
      </c>
      <c r="C30" t="s">
        <v>48</v>
      </c>
      <c r="D30" t="s">
        <v>65</v>
      </c>
      <c r="E30" t="s">
        <v>19</v>
      </c>
      <c r="F30" s="2">
        <v>45925</v>
      </c>
      <c r="G30" s="2">
        <v>45932</v>
      </c>
      <c r="H30" s="6">
        <f t="shared" si="0"/>
        <v>7</v>
      </c>
      <c r="I30" s="1" t="s">
        <v>16</v>
      </c>
      <c r="J30" s="1" t="b">
        <f ca="1">AND(Table1[[#This Row],[Status]]&lt;&gt;"Completed",Table1[[#This Row],[Due Date]]&lt;TODAY())</f>
        <v>0</v>
      </c>
      <c r="K30" t="s">
        <v>49</v>
      </c>
    </row>
    <row r="31" spans="2:11" x14ac:dyDescent="0.4">
      <c r="B31" s="1" t="s">
        <v>50</v>
      </c>
      <c r="C31" t="s">
        <v>67</v>
      </c>
      <c r="D31" s="3" t="s">
        <v>57</v>
      </c>
      <c r="E31" t="s">
        <v>15</v>
      </c>
      <c r="F31" s="2">
        <v>45926</v>
      </c>
      <c r="G31" s="2">
        <v>45960</v>
      </c>
      <c r="H31" s="6">
        <f t="shared" si="0"/>
        <v>34</v>
      </c>
      <c r="I31" s="1" t="s">
        <v>16</v>
      </c>
      <c r="J31" s="1" t="b">
        <f ca="1">AND(Table1[[#This Row],[Status]]&lt;&gt;"Completed",Table1[[#This Row],[Due Date]]&lt;TODAY())</f>
        <v>0</v>
      </c>
      <c r="K31" t="s">
        <v>51</v>
      </c>
    </row>
    <row r="32" spans="2:11" x14ac:dyDescent="0.4">
      <c r="B32" s="1" t="s">
        <v>52</v>
      </c>
      <c r="C32" t="s">
        <v>53</v>
      </c>
      <c r="D32" s="3" t="s">
        <v>57</v>
      </c>
      <c r="E32" t="s">
        <v>34</v>
      </c>
      <c r="F32" s="2">
        <v>45927</v>
      </c>
      <c r="G32" s="2">
        <v>45937</v>
      </c>
      <c r="H32" s="6">
        <f t="shared" si="0"/>
        <v>10</v>
      </c>
      <c r="I32" s="1" t="s">
        <v>8</v>
      </c>
      <c r="J32" s="1" t="b">
        <f ca="1">AND(Table1[[#This Row],[Status]]&lt;&gt;"Completed",Table1[[#This Row],[Due Date]]&lt;TODAY())</f>
        <v>1</v>
      </c>
      <c r="K32" t="s">
        <v>54</v>
      </c>
    </row>
    <row r="33" spans="2:11" x14ac:dyDescent="0.4">
      <c r="B33" s="1" t="s">
        <v>55</v>
      </c>
      <c r="C33" t="s">
        <v>56</v>
      </c>
      <c r="D33" t="s">
        <v>57</v>
      </c>
      <c r="E33" t="s">
        <v>34</v>
      </c>
      <c r="F33" s="2">
        <v>45928</v>
      </c>
      <c r="G33" s="2">
        <v>45948</v>
      </c>
      <c r="H33" s="6">
        <f t="shared" si="0"/>
        <v>20</v>
      </c>
      <c r="I33" s="1" t="s">
        <v>16</v>
      </c>
      <c r="J33" s="1" t="b">
        <f ca="1">AND(Table1[[#This Row],[Status]]&lt;&gt;"Completed",Table1[[#This Row],[Due Date]]&lt;TODAY())</f>
        <v>0</v>
      </c>
      <c r="K33" t="s">
        <v>58</v>
      </c>
    </row>
    <row r="34" spans="2:11" x14ac:dyDescent="0.4">
      <c r="B34" s="1" t="s">
        <v>59</v>
      </c>
      <c r="C34" t="s">
        <v>60</v>
      </c>
      <c r="D34" t="s">
        <v>65</v>
      </c>
      <c r="E34" t="s">
        <v>34</v>
      </c>
      <c r="F34" s="2">
        <v>45929</v>
      </c>
      <c r="G34" s="2">
        <v>45934</v>
      </c>
      <c r="H34" s="6">
        <f t="shared" si="0"/>
        <v>5</v>
      </c>
      <c r="I34" s="1" t="s">
        <v>9</v>
      </c>
      <c r="J34" s="1" t="b">
        <f ca="1">AND(Table1[[#This Row],[Status]]&lt;&gt;"Completed",Table1[[#This Row],[Due Date]]&lt;TODAY())</f>
        <v>1</v>
      </c>
      <c r="K34" t="s">
        <v>61</v>
      </c>
    </row>
    <row r="39" spans="2:11" x14ac:dyDescent="0.4">
      <c r="B39" s="1" t="s">
        <v>71</v>
      </c>
      <c r="C39" t="s">
        <v>72</v>
      </c>
    </row>
    <row r="40" spans="2:11" x14ac:dyDescent="0.4">
      <c r="B40" s="1" t="s">
        <v>74</v>
      </c>
      <c r="C40" s="1" t="s">
        <v>73</v>
      </c>
    </row>
  </sheetData>
  <conditionalFormatting sqref="I20">
    <cfRule type="cellIs" dxfId="8" priority="6" operator="equal">
      <formula>"Completed"</formula>
    </cfRule>
  </conditionalFormatting>
  <conditionalFormatting sqref="I20:I34">
    <cfRule type="cellIs" dxfId="7" priority="2" operator="equal">
      <formula>"Completed"</formula>
    </cfRule>
    <cfRule type="cellIs" dxfId="6" priority="3" operator="equal">
      <formula>"Not Started"</formula>
    </cfRule>
    <cfRule type="cellIs" dxfId="5" priority="4" operator="equal">
      <formula>"In Progress"</formula>
    </cfRule>
    <cfRule type="cellIs" dxfId="4" priority="5" operator="equal">
      <formula>"Completed"</formula>
    </cfRule>
  </conditionalFormatting>
  <conditionalFormatting sqref="J20:J34">
    <cfRule type="cellIs" dxfId="3" priority="1" operator="equal">
      <formula>TRUE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0FEA79D-9C7E-4150-A206-E89691DB1DF0}">
          <x14:formula1>
            <xm:f>'Support Sheet'!$E$3:$E$7</xm:f>
          </x14:formula1>
          <xm:sqref>E20:E34</xm:sqref>
        </x14:dataValidation>
        <x14:dataValidation type="list" allowBlank="1" showInputMessage="1" showErrorMessage="1" xr:uid="{5D399D84-9494-4A5D-902E-B6655A86D8E7}">
          <x14:formula1>
            <xm:f>'Support Sheet'!$H$3:$H$6</xm:f>
          </x14:formula1>
          <xm:sqref>D20:D34</xm:sqref>
        </x14:dataValidation>
        <x14:dataValidation type="list" allowBlank="1" showInputMessage="1" showErrorMessage="1" xr:uid="{D34FE686-7E54-4A8F-AC79-7B7E53BE8643}">
          <x14:formula1>
            <xm:f>'Support Sheet'!$B$3:$B$5</xm:f>
          </x14:formula1>
          <xm:sqref>I20:I34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zoomScale="115" zoomScaleNormal="115" workbookViewId="0">
      <selection activeCell="K3" sqref="K3"/>
    </sheetView>
  </sheetViews>
  <sheetFormatPr defaultColWidth="11.1640625" defaultRowHeight="16" x14ac:dyDescent="0.4"/>
  <cols>
    <col min="1" max="1" width="3.33203125" customWidth="1"/>
    <col min="3" max="3" width="6.1640625" bestFit="1" customWidth="1"/>
    <col min="4" max="4" width="7.83203125" customWidth="1"/>
    <col min="5" max="5" width="14.1640625" bestFit="1" customWidth="1"/>
    <col min="6" max="6" width="6.1640625" style="1" bestFit="1" customWidth="1"/>
    <col min="7" max="7" width="7.83203125" customWidth="1"/>
    <col min="9" max="9" width="6.1640625" bestFit="1" customWidth="1"/>
    <col min="10" max="10" width="7.83203125" customWidth="1"/>
    <col min="11" max="11" width="8" bestFit="1" customWidth="1"/>
  </cols>
  <sheetData>
    <row r="2" spans="2:11" x14ac:dyDescent="0.4">
      <c r="B2" s="5" t="s">
        <v>4</v>
      </c>
      <c r="C2" s="5" t="s">
        <v>68</v>
      </c>
      <c r="E2" s="5" t="s">
        <v>10</v>
      </c>
      <c r="F2" s="5" t="s">
        <v>68</v>
      </c>
      <c r="H2" s="5" t="s">
        <v>70</v>
      </c>
      <c r="I2" s="5" t="s">
        <v>68</v>
      </c>
      <c r="K2" s="5" t="s">
        <v>12</v>
      </c>
    </row>
    <row r="3" spans="2:11" x14ac:dyDescent="0.4">
      <c r="B3" t="s">
        <v>16</v>
      </c>
      <c r="C3" s="1">
        <f>COUNTIF(Table1[Status],'Support Sheet'!B3)</f>
        <v>7</v>
      </c>
      <c r="E3" t="s">
        <v>15</v>
      </c>
      <c r="F3" s="1">
        <f>COUNTIF(Table1[Task Owner],'Support Sheet'!E3)</f>
        <v>6</v>
      </c>
      <c r="H3" t="s">
        <v>65</v>
      </c>
      <c r="I3" s="1">
        <f>COUNTIF(Table1[Team],'Support Sheet'!H3)</f>
        <v>4</v>
      </c>
      <c r="K3" s="1">
        <f ca="1">COUNTIF(Table1[Overdue?], TRUE)</f>
        <v>8</v>
      </c>
    </row>
    <row r="4" spans="2:11" x14ac:dyDescent="0.4">
      <c r="B4" t="s">
        <v>8</v>
      </c>
      <c r="C4" s="1">
        <f>COUNTIF(Table1[Status],'Support Sheet'!B4)</f>
        <v>6</v>
      </c>
      <c r="E4" t="s">
        <v>19</v>
      </c>
      <c r="F4" s="1">
        <f>COUNTIF(Table1[Task Owner],'Support Sheet'!E4)</f>
        <v>3</v>
      </c>
      <c r="H4" t="s">
        <v>57</v>
      </c>
      <c r="I4" s="1">
        <f>COUNTIF(Table1[Team],'Support Sheet'!H4)</f>
        <v>6</v>
      </c>
    </row>
    <row r="5" spans="2:11" x14ac:dyDescent="0.4">
      <c r="B5" t="s">
        <v>9</v>
      </c>
      <c r="C5" s="1">
        <f>COUNTIF(Table1[Status],'Support Sheet'!B5)</f>
        <v>2</v>
      </c>
      <c r="E5" t="s">
        <v>26</v>
      </c>
      <c r="F5" s="1">
        <f>COUNTIF(Table1[Task Owner],'Support Sheet'!E5)</f>
        <v>1</v>
      </c>
      <c r="H5" t="s">
        <v>66</v>
      </c>
      <c r="I5" s="1">
        <f>COUNTIF(Table1[Team],'Support Sheet'!H5)</f>
        <v>4</v>
      </c>
    </row>
    <row r="6" spans="2:11" x14ac:dyDescent="0.4">
      <c r="B6" t="s">
        <v>69</v>
      </c>
      <c r="C6" s="1">
        <f>SUM(C3:C5)</f>
        <v>15</v>
      </c>
      <c r="E6" t="s">
        <v>30</v>
      </c>
      <c r="F6" s="1">
        <f>COUNTIF(Table1[Task Owner],'Support Sheet'!E6)</f>
        <v>2</v>
      </c>
      <c r="H6" t="s">
        <v>40</v>
      </c>
      <c r="I6" s="1">
        <f>COUNTIF(Table1[Team],'Support Sheet'!H6)</f>
        <v>1</v>
      </c>
    </row>
    <row r="7" spans="2:11" x14ac:dyDescent="0.4">
      <c r="E7" t="s">
        <v>34</v>
      </c>
      <c r="F7" s="1">
        <f>COUNTIF(Table1[Task Owner],'Support Sheet'!E7)</f>
        <v>3</v>
      </c>
      <c r="I7" s="1"/>
    </row>
    <row r="10" spans="2:11" x14ac:dyDescent="0.4">
      <c r="E10" s="1"/>
    </row>
  </sheetData>
  <conditionalFormatting sqref="B3">
    <cfRule type="cellIs" dxfId="2" priority="3" operator="equal">
      <formula>"Completed"</formula>
    </cfRule>
  </conditionalFormatting>
  <conditionalFormatting sqref="B4">
    <cfRule type="cellIs" dxfId="1" priority="2" operator="equal">
      <formula>"In Progress"</formula>
    </cfRule>
  </conditionalFormatting>
  <conditionalFormatting sqref="B5">
    <cfRule type="cellIs" dxfId="0" priority="1" operator="equal">
      <formula>"Not Started"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Balakumaran S</cp:lastModifiedBy>
  <dcterms:created xsi:type="dcterms:W3CDTF">2025-09-19T00:51:58Z</dcterms:created>
  <dcterms:modified xsi:type="dcterms:W3CDTF">2025-12-27T06:24:30Z</dcterms:modified>
</cp:coreProperties>
</file>